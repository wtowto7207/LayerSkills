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a4e663f29046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盲测记录" sheetId="1" r:id="Ra6fda37dfab8471a"/>
    <x:sheet xmlns:r="http://schemas.openxmlformats.org/officeDocument/2006/relationships" name="验收看板" sheetId="2" r:id="R4dca1fdb953342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7">
    <x:font>
      <x:sz val="11"/>
      <x:name val="Carlito"/>
    </x:font>
    <x:font>
      <x:b/>
      <x:sz val="17"/>
      <x:color rgb="FFFFFFFF"/>
      <x:name val="Carlito"/>
    </x:font>
    <x:font>
      <x:i/>
      <x:sz val="10"/>
      <x:color rgb="FF0B2545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  <x:font>
      <x:b/>
      <x:sz val="10"/>
      <x:color rgb="FF7A5A00"/>
      <x:name val="Carlito"/>
    </x:font>
    <x:font>
      <x:b/>
      <x:sz val="10"/>
      <x:color rgb="FF9B1C1C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2E74B5"/>
      </x:patternFill>
    </x:fill>
    <x:fill>
      <x:patternFill patternType="solid">
        <x:fgColor rgb="FFFFF4CE"/>
      </x:patternFill>
    </x:fill>
    <x:fill>
      <x:patternFill patternType="solid">
        <x:fgColor rgb="FFFCE8E6"/>
      </x:patternFill>
    </x:fill>
  </x:fills>
  <x:borders count="2">
    <x:border/>
    <x:border>
      <x:left style="thin">
        <x:color rgb="FFD9DEE7"/>
      </x:left>
      <x:right style="thin">
        <x:color rgb="FFD9DEE7"/>
      </x:right>
      <x:top style="thin">
        <x:color rgb="FFD9DEE7"/>
      </x:top>
      <x:bottom style="thin">
        <x:color rgb="FFD9DEE7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137333"/>
      </x:font>
      <x:fill>
        <x:patternFill patternType="solid">
          <x:bgColor rgb="FFE6F4EA"/>
        </x:patternFill>
      </x:fill>
    </x:dxf>
    <x:dxf>
      <x:font>
        <x:b/>
        <x:color rgb="FF9B1C1C"/>
      </x:font>
      <x:fill>
        <x:patternFill patternType="solid">
          <x:bgColor rgb="FFFCE8E6"/>
        </x:patternFill>
      </x:fill>
    </x:dxf>
    <x:dxf>
      <x:font>
        <x:b/>
        <x:color rgb="FF137333"/>
      </x:font>
      <x:fill>
        <x:patternFill patternType="solid">
          <x:bgColor rgb="FFE6F4EA"/>
        </x:patternFill>
      </x:fill>
    </x:dxf>
    <x:dxf>
      <x:font>
        <x:b/>
        <x:color rgb="FF7A5A00"/>
      </x:font>
      <x:fill>
        <x:patternFill patternType="solid">
          <x:bgColor rgb="FFFFF4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19de3856184045" /><Relationship Type="http://schemas.openxmlformats.org/officeDocument/2006/relationships/theme" Target="/xl/theme/theme1.xml" Id="R73e9a6efb2d04122" /><Relationship Type="http://schemas.openxmlformats.org/officeDocument/2006/relationships/sharedStrings" Target="/xl/sharedStrings.xml" Id="R54ac00cc1bf84fda" /><Relationship Type="http://schemas.openxmlformats.org/officeDocument/2006/relationships/worksheet" Target="/xl/worksheets/sheet1.xml" Id="Ra6fda37dfab8471a" /><Relationship Type="http://schemas.openxmlformats.org/officeDocument/2006/relationships/worksheet" Target="/xl/worksheets/sheet2.xml" Id="R4dca1fdb953342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24" hidden="0" customWidth="1"/>
    <x:col min="4" max="4" width="13" hidden="0" customWidth="1"/>
    <x:col min="5" max="5" width="16" hidden="0" customWidth="1"/>
    <x:col min="6" max="6" width="14" hidden="0" customWidth="1"/>
    <x:col min="7" max="7" width="15" hidden="0" customWidth="1"/>
    <x:col min="8" max="8" width="14" hidden="0" customWidth="1"/>
    <x:col min="9" max="9" width="15" hidden="0" customWidth="1"/>
    <x:col min="10" max="10" width="18" hidden="0" customWidth="1"/>
    <x:col min="11" max="11" width="17" hidden="0" customWidth="1"/>
    <x:col min="12" max="12" width="14" hidden="0" customWidth="1"/>
  </x:cols>
  <x:sheetData>
    <x:row r="1" ht="30" customHeight="1">
      <x:c r="A1" s="3" t="str">
        <x:v>律师盲测与验收记录</x:v>
      </x:c>
      <x:c r="B1" s="3" t="str">
        <x:v>律师盲测与验收记录</x:v>
      </x:c>
      <x:c r="C1" s="3" t="str">
        <x:v>律师盲测与验收记录</x:v>
      </x:c>
      <x:c r="D1" s="3" t="str">
        <x:v>律师盲测与验收记录</x:v>
      </x:c>
      <x:c r="E1" s="3" t="str">
        <x:v>律师盲测与验收记录</x:v>
      </x:c>
      <x:c r="F1" s="3" t="str">
        <x:v>律师盲测与验收记录</x:v>
      </x:c>
      <x:c r="G1" s="3" t="str">
        <x:v>律师盲测与验收记录</x:v>
      </x:c>
      <x:c r="H1" s="3" t="str">
        <x:v>律师盲测与验收记录</x:v>
      </x:c>
      <x:c r="I1" s="3" t="str">
        <x:v>律师盲测与验收记录</x:v>
      </x:c>
      <x:c r="J1" s="3" t="str">
        <x:v>律师盲测与验收记录</x:v>
      </x:c>
      <x:c r="K1" s="3" t="str">
        <x:v>律师盲测与验收记录</x:v>
      </x:c>
      <x:c r="L1" s="3" t="str">
        <x:v>律师盲测与验收记录</x:v>
      </x:c>
    </x:row>
    <x:row r="2">
      <x:c r="A2" s="6" t="str">
        <x:v>填写规则：三套合成案卷各做两轮；金额、来源、虚构事实和安全门禁为一票否决项。</x:v>
      </x:c>
      <x:c r="B2" s="6" t="str">
        <x:v>填写规则：三套合成案卷各做两轮；金额、来源、虚构事实和安全门禁为一票否决项。</x:v>
      </x:c>
      <x:c r="C2" s="6" t="str">
        <x:v>填写规则：三套合成案卷各做两轮；金额、来源、虚构事实和安全门禁为一票否决项。</x:v>
      </x:c>
      <x:c r="D2" s="6" t="str">
        <x:v>填写规则：三套合成案卷各做两轮；金额、来源、虚构事实和安全门禁为一票否决项。</x:v>
      </x:c>
      <x:c r="E2" s="6" t="str">
        <x:v>填写规则：三套合成案卷各做两轮；金额、来源、虚构事实和安全门禁为一票否决项。</x:v>
      </x:c>
      <x:c r="F2" s="6" t="str">
        <x:v>填写规则：三套合成案卷各做两轮；金额、来源、虚构事实和安全门禁为一票否决项。</x:v>
      </x:c>
      <x:c r="G2" s="6" t="str">
        <x:v>填写规则：三套合成案卷各做两轮；金额、来源、虚构事实和安全门禁为一票否决项。</x:v>
      </x:c>
      <x:c r="H2" s="6" t="str">
        <x:v>填写规则：三套合成案卷各做两轮；金额、来源、虚构事实和安全门禁为一票否决项。</x:v>
      </x:c>
      <x:c r="I2" s="6" t="str">
        <x:v>填写规则：三套合成案卷各做两轮；金额、来源、虚构事实和安全门禁为一票否决项。</x:v>
      </x:c>
      <x:c r="J2" s="6" t="str">
        <x:v>填写规则：三套合成案卷各做两轮；金额、来源、虚构事实和安全门禁为一票否决项。</x:v>
      </x:c>
      <x:c r="K2" s="6" t="str">
        <x:v>填写规则：三套合成案卷各做两轮；金额、来源、虚构事实和安全门禁为一票否决项。</x:v>
      </x:c>
      <x:c r="L2" s="6" t="str">
        <x:v>填写规则：三套合成案卷各做两轮；金额、来源、虚构事实和安全门禁为一票否决项。</x:v>
      </x:c>
    </x:row>
    <x:row r="4" ht="34" customHeight="1">
      <x:c r="A4" s="12" t="str">
        <x:v>轮次</x:v>
      </x:c>
      <x:c r="B4" s="12" t="str">
        <x:v>案卷</x:v>
      </x:c>
      <x:c r="C4" s="12" t="str">
        <x:v>复核人/日期</x:v>
      </x:c>
      <x:c r="D4" s="12" t="str">
        <x:v>本金一致</x:v>
      </x:c>
      <x:c r="E4" s="12" t="str">
        <x:v>预设关键缺证数</x:v>
      </x:c>
      <x:c r="F4" s="12" t="str">
        <x:v>正确识别数</x:v>
      </x:c>
      <x:c r="G4" s="12" t="str">
        <x:v>缺证识别率</x:v>
      </x:c>
      <x:c r="H4" s="12" t="str">
        <x:v>虚构事实数</x:v>
      </x:c>
      <x:c r="I4" s="12" t="str">
        <x:v>来源覆盖率</x:v>
      </x:c>
      <x:c r="J4" s="12" t="str">
        <x:v>输出确定性结论</x:v>
      </x:c>
      <x:c r="K4" s="12" t="str">
        <x:v>安全异常通过</x:v>
      </x:c>
      <x:c r="L4" s="12" t="str">
        <x:v>结论</x:v>
      </x:c>
    </x:row>
    <x:row r="5">
      <x:c r="A5" s="16" t="str">
        <x:v>第一轮</x:v>
      </x:c>
      <x:c r="B5" s="16" t="str">
        <x:v>完整履约案</x:v>
      </x:c>
      <x:c r="C5" s="16" t="str"/>
      <x:c r="D5" s="16" t="str"/>
      <x:c r="E5" s="16" t="n">
        <x:v>1</x:v>
      </x:c>
      <x:c r="F5" s="16" t="str"/>
      <x:c r="G5" s="17" t="str">
        <x:f>IF(F5="","",IFERROR(F5/E5,0))</x:f>
      </x:c>
      <x:c r="H5" s="16" t="str"/>
      <x:c r="I5" s="17" t="str"/>
      <x:c r="J5" s="16" t="str"/>
      <x:c r="K5" s="16" t="str"/>
      <x:c r="L5" s="16" t="str">
        <x:f>IF(OR(D5="",F5="",H5="",I5="",J5="",K5=""),"待填写",IF(AND(D5="是",G5&gt;=0.9,H5=0,I5=1,J5="否",K5="是"),"通过","待整改"))</x:f>
        <x:v>待填写</x:v>
      </x:c>
    </x:row>
    <x:row r="6">
      <x:c r="A6" s="16" t="str">
        <x:v>第一轮</x:v>
      </x:c>
      <x:c r="B6" s="16" t="str">
        <x:v>无书面合同案</x:v>
      </x:c>
      <x:c r="C6" s="16" t="str"/>
      <x:c r="D6" s="16" t="str"/>
      <x:c r="E6" s="16" t="n">
        <x:v>1</x:v>
      </x:c>
      <x:c r="F6" s="16" t="str"/>
      <x:c r="G6" s="17" t="str">
        <x:f>IF(F6="","",IFERROR(F6/E6,0))</x:f>
      </x:c>
      <x:c r="H6" s="16" t="str"/>
      <x:c r="I6" s="17" t="str"/>
      <x:c r="J6" s="16" t="str"/>
      <x:c r="K6" s="16" t="str"/>
      <x:c r="L6" s="16" t="str">
        <x:f>IF(OR(D6="",F6="",H6="",I6="",J6="",K6=""),"待填写",IF(AND(D6="是",G6&gt;=0.9,H6=0,I6=1,J6="否",K6="是"),"通过","待整改"))</x:f>
        <x:v>待填写</x:v>
      </x:c>
    </x:row>
    <x:row r="7">
      <x:c r="A7" s="16" t="str">
        <x:v>第一轮</x:v>
      </x:c>
      <x:c r="B7" s="16" t="str">
        <x:v>冲突缺证案</x:v>
      </x:c>
      <x:c r="C7" s="16" t="str"/>
      <x:c r="D7" s="16" t="str"/>
      <x:c r="E7" s="16" t="n">
        <x:v>3</x:v>
      </x:c>
      <x:c r="F7" s="16" t="str"/>
      <x:c r="G7" s="17" t="str">
        <x:f>IF(F7="","",IFERROR(F7/E7,0))</x:f>
      </x:c>
      <x:c r="H7" s="16" t="str"/>
      <x:c r="I7" s="17" t="str"/>
      <x:c r="J7" s="16" t="str"/>
      <x:c r="K7" s="16" t="str"/>
      <x:c r="L7" s="16" t="str">
        <x:f>IF(OR(D7="",F7="",H7="",I7="",J7="",K7=""),"待填写",IF(AND(D7="是",G7&gt;=0.9,H7=0,I7=1,J7="否",K7="是"),"通过","待整改"))</x:f>
        <x:v>待填写</x:v>
      </x:c>
    </x:row>
    <x:row r="8">
      <x:c r="A8" s="16" t="str">
        <x:v>第二轮</x:v>
      </x:c>
      <x:c r="B8" s="16" t="str">
        <x:v>完整履约案</x:v>
      </x:c>
      <x:c r="C8" s="16" t="str"/>
      <x:c r="D8" s="16" t="str"/>
      <x:c r="E8" s="16" t="n">
        <x:v>1</x:v>
      </x:c>
      <x:c r="F8" s="16" t="str"/>
      <x:c r="G8" s="17" t="str">
        <x:f>IF(F8="","",IFERROR(F8/E8,0))</x:f>
      </x:c>
      <x:c r="H8" s="16" t="str"/>
      <x:c r="I8" s="17" t="str"/>
      <x:c r="J8" s="16" t="str"/>
      <x:c r="K8" s="16" t="str"/>
      <x:c r="L8" s="16" t="str">
        <x:f>IF(OR(D8="",F8="",H8="",I8="",J8="",K8=""),"待填写",IF(AND(D8="是",G8&gt;=0.9,H8=0,I8=1,J8="否",K8="是"),"通过","待整改"))</x:f>
        <x:v>待填写</x:v>
      </x:c>
    </x:row>
    <x:row r="9">
      <x:c r="A9" s="16" t="str">
        <x:v>第二轮</x:v>
      </x:c>
      <x:c r="B9" s="16" t="str">
        <x:v>无书面合同案</x:v>
      </x:c>
      <x:c r="C9" s="16" t="str"/>
      <x:c r="D9" s="16" t="str"/>
      <x:c r="E9" s="16" t="n">
        <x:v>1</x:v>
      </x:c>
      <x:c r="F9" s="16" t="str"/>
      <x:c r="G9" s="17" t="str">
        <x:f>IF(F9="","",IFERROR(F9/E9,0))</x:f>
      </x:c>
      <x:c r="H9" s="16" t="str"/>
      <x:c r="I9" s="17" t="str"/>
      <x:c r="J9" s="16" t="str"/>
      <x:c r="K9" s="16" t="str"/>
      <x:c r="L9" s="16" t="str">
        <x:f>IF(OR(D9="",F9="",H9="",I9="",J9="",K9=""),"待填写",IF(AND(D9="是",G9&gt;=0.9,H9=0,I9=1,J9="否",K9="是"),"通过","待整改"))</x:f>
        <x:v>待填写</x:v>
      </x:c>
    </x:row>
    <x:row r="10">
      <x:c r="A10" s="16" t="str">
        <x:v>第二轮</x:v>
      </x:c>
      <x:c r="B10" s="16" t="str">
        <x:v>冲突缺证案</x:v>
      </x:c>
      <x:c r="C10" s="16" t="str"/>
      <x:c r="D10" s="16" t="str"/>
      <x:c r="E10" s="16" t="n">
        <x:v>3</x:v>
      </x:c>
      <x:c r="F10" s="16" t="str"/>
      <x:c r="G10" s="17" t="str">
        <x:f>IF(F10="","",IFERROR(F10/E10,0))</x:f>
      </x:c>
      <x:c r="H10" s="16" t="str"/>
      <x:c r="I10" s="17" t="str"/>
      <x:c r="J10" s="16" t="str"/>
      <x:c r="K10" s="16" t="str"/>
      <x:c r="L10" s="16" t="str">
        <x:f>IF(OR(D10="",F10="",H10="",I10="",J10="",K10=""),"待填写",IF(AND(D10="是",G10&gt;=0.9,H10=0,I10=1,J10="否",K10="是"),"通过","待整改"))</x:f>
        <x:v>待填写</x:v>
      </x:c>
    </x:row>
    <x:row r="12">
      <x:c r="A12" s="20" t="str">
        <x:v>复核签记：第一轮重点找漏项；修订后第二轮确认金额、来源与门禁。发现真实客户信息时立即停止并更换合成材料。</x:v>
      </x:c>
      <x:c r="B12" s="20" t="str">
        <x:v>复核签记：第一轮重点找漏项；修订后第二轮确认金额、来源与门禁。发现真实客户信息时立即停止并更换合成材料。</x:v>
      </x:c>
      <x:c r="C12" s="20" t="str">
        <x:v>复核签记：第一轮重点找漏项；修订后第二轮确认金额、来源与门禁。发现真实客户信息时立即停止并更换合成材料。</x:v>
      </x:c>
      <x:c r="D12" s="20" t="str">
        <x:v>复核签记：第一轮重点找漏项；修订后第二轮确认金额、来源与门禁。发现真实客户信息时立即停止并更换合成材料。</x:v>
      </x:c>
      <x:c r="E12" s="20" t="str">
        <x:v>复核签记：第一轮重点找漏项；修订后第二轮确认金额、来源与门禁。发现真实客户信息时立即停止并更换合成材料。</x:v>
      </x:c>
      <x:c r="F12" s="20" t="str">
        <x:v>复核签记：第一轮重点找漏项；修订后第二轮确认金额、来源与门禁。发现真实客户信息时立即停止并更换合成材料。</x:v>
      </x:c>
      <x:c r="G12" s="20" t="str">
        <x:v>复核签记：第一轮重点找漏项；修订后第二轮确认金额、来源与门禁。发现真实客户信息时立即停止并更换合成材料。</x:v>
      </x:c>
      <x:c r="H12" s="20" t="str">
        <x:v>复核签记：第一轮重点找漏项；修订后第二轮确认金额、来源与门禁。发现真实客户信息时立即停止并更换合成材料。</x:v>
      </x:c>
      <x:c r="I12" s="20" t="str">
        <x:v>复核签记：第一轮重点找漏项；修订后第二轮确认金额、来源与门禁。发现真实客户信息时立即停止并更换合成材料。</x:v>
      </x:c>
      <x:c r="J12" s="20" t="str">
        <x:v>复核签记：第一轮重点找漏项；修订后第二轮确认金额、来源与门禁。发现真实客户信息时立即停止并更换合成材料。</x:v>
      </x:c>
      <x:c r="K12" s="20" t="str">
        <x:v>复核签记：第一轮重点找漏项；修订后第二轮确认金额、来源与门禁。发现真实客户信息时立即停止并更换合成材料。</x:v>
      </x:c>
      <x:c r="L12" s="20" t="str">
        <x:v>复核签记：第一轮重点找漏项；修订后第二轮确认金额、来源与门禁。发现真实客户信息时立即停止并更换合成材料。</x:v>
      </x:c>
    </x:row>
  </x:sheetData>
  <x:mergeCells>
    <x:mergeCell ref="A1:L1"/>
    <x:mergeCell ref="A2:L2"/>
    <x:mergeCell ref="A12:L12"/>
  </x:mergeCells>
  <x:conditionalFormatting sqref="L5:L10">
    <x:cfRule type="containsText" dxfId="0" priority="1" operator="containsText" text="通过"/>
    <x:cfRule type="containsText" dxfId="1" priority="2" operator="containsText" text="待整改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5" hidden="0" customWidth="1"/>
    <x:col min="5" max="5" width="52" hidden="0" customWidth="1"/>
    <x:col min="6" max="6" width="18" hidden="0" customWidth="1"/>
  </x:cols>
  <x:sheetData>
    <x:row r="1" ht="30" customHeight="1">
      <x:c r="A1" s="3" t="str">
        <x:v>参赛作品验收看板</x:v>
      </x:c>
      <x:c r="B1" s="3" t="str">
        <x:v>参赛作品验收看板</x:v>
      </x:c>
      <x:c r="C1" s="3" t="str">
        <x:v>参赛作品验收看板</x:v>
      </x:c>
      <x:c r="D1" s="3" t="str">
        <x:v>参赛作品验收看板</x:v>
      </x:c>
      <x:c r="E1" s="3" t="str">
        <x:v>参赛作品验收看板</x:v>
      </x:c>
      <x:c r="F1" s="3" t="str">
        <x:v>参赛作品验收看板</x:v>
      </x:c>
    </x:row>
    <x:row r="2">
      <x:c r="A2" s="5" t="str">
        <x:v>绿色为已由自动测试或结构校验确认；黄色为必须由申报团队在投稿前补齐。</x:v>
      </x:c>
      <x:c r="B2" s="5" t="str">
        <x:v>绿色为已由自动测试或结构校验确认；黄色为必须由申报团队在投稿前补齐。</x:v>
      </x:c>
      <x:c r="C2" s="5" t="str">
        <x:v>绿色为已由自动测试或结构校验确认；黄色为必须由申报团队在投稿前补齐。</x:v>
      </x:c>
      <x:c r="D2" s="5" t="str">
        <x:v>绿色为已由自动测试或结构校验确认；黄色为必须由申报团队在投稿前补齐。</x:v>
      </x:c>
      <x:c r="E2" s="5" t="str">
        <x:v>绿色为已由自动测试或结构校验确认；黄色为必须由申报团队在投稿前补齐。</x:v>
      </x:c>
      <x:c r="F2" s="5" t="str">
        <x:v>绿色为已由自动测试或结构校验确认；黄色为必须由申报团队在投稿前补齐。</x:v>
      </x:c>
    </x:row>
    <x:row r="4" ht="34" customHeight="1">
      <x:c r="A4" s="12" t="str">
        <x:v>指标</x:v>
      </x:c>
      <x:c r="B4" s="12" t="str">
        <x:v>目标</x:v>
      </x:c>
      <x:c r="C4" s="12" t="str">
        <x:v>当前值</x:v>
      </x:c>
      <x:c r="D4" s="12" t="str">
        <x:v>状态</x:v>
      </x:c>
      <x:c r="E4" s="12" t="str">
        <x:v>证据</x:v>
      </x:c>
      <x:c r="F4" s="12" t="str">
        <x:v>责任人</x:v>
      </x:c>
    </x:row>
    <x:row r="5">
      <x:c r="A5" s="16" t="str">
        <x:v>本金核算准确率</x:v>
      </x:c>
      <x:c r="B5" s="17" t="n">
        <x:v>1</x:v>
      </x:c>
      <x:c r="C5" s="17" t="n">
        <x:v>1</x:v>
      </x:c>
      <x:c r="D5" s="16" t="str">
        <x:f>IF(C5&gt;=B5,"通过","待完成")</x:f>
        <x:v>通过</x:v>
      </x:c>
      <x:c r="E5" s="16" t="str">
        <x:v>3/3 合成案卷均为 100,000.00</x:v>
      </x:c>
      <x:c r="F5" s="16" t="str">
        <x:v>技术负责人</x:v>
      </x:c>
    </x:row>
    <x:row r="6">
      <x:c r="A6" s="16" t="str">
        <x:v>来源定位覆盖率</x:v>
      </x:c>
      <x:c r="B6" s="17" t="n">
        <x:v>1</x:v>
      </x:c>
      <x:c r="C6" s="17" t="n">
        <x:v>1</x:v>
      </x:c>
      <x:c r="D6" s="16" t="str">
        <x:f>IF(C6&gt;=B6,"通过","待完成")</x:f>
        <x:v>通过</x:v>
      </x:c>
      <x:c r="E6" s="16" t="str">
        <x:v>audit.source_traceability_complete=true</x:v>
      </x:c>
      <x:c r="F6" s="16" t="str">
        <x:v>技术负责人</x:v>
      </x:c>
    </x:row>
    <x:row r="7">
      <x:c r="A7" s="16" t="str">
        <x:v>虚构事实数</x:v>
      </x:c>
      <x:c r="B7" s="16" t="n">
        <x:v>0</x:v>
      </x:c>
      <x:c r="C7" s="16" t="n">
        <x:v>0</x:v>
      </x:c>
      <x:c r="D7" s="16" t="str">
        <x:f>IF(C7=B7,"通过","待完成")</x:f>
        <x:v>通过</x:v>
      </x:c>
      <x:c r="E7" s="16" t="str">
        <x:v>fabricated_fact_count=0</x:v>
      </x:c>
      <x:c r="F7" s="16" t="str">
        <x:v>技术负责人</x:v>
      </x:c>
    </x:row>
    <x:row r="8">
      <x:c r="A8" s="16" t="str">
        <x:v>关键缺证识别率</x:v>
      </x:c>
      <x:c r="B8" s="17" t="n">
        <x:v>0.9</x:v>
      </x:c>
      <x:c r="C8" s="17" t="n">
        <x:v>1</x:v>
      </x:c>
      <x:c r="D8" s="16" t="str">
        <x:f>IF(C8&gt;=B8,"通过","待完成")</x:f>
        <x:v>通过</x:v>
      </x:c>
      <x:c r="E8" s="16" t="str">
        <x:v>4/4 预设标题命中</x:v>
      </x:c>
      <x:c r="F8" s="16" t="str">
        <x:v>技术负责人</x:v>
      </x:c>
    </x:row>
    <x:row r="9">
      <x:c r="A9" s="16" t="str">
        <x:v>Skill 结构校验</x:v>
      </x:c>
      <x:c r="B9" s="16" t="n">
        <x:v>1</x:v>
      </x:c>
      <x:c r="C9" s="16" t="n">
        <x:v>1</x:v>
      </x:c>
      <x:c r="D9" s="16" t="str">
        <x:f>IF(C9&gt;=B9,"通过","待完成")</x:f>
        <x:v>通过</x:v>
      </x:c>
      <x:c r="E9" s="16" t="str">
        <x:v>Skill is valid</x:v>
      </x:c>
      <x:c r="F9" s="16" t="str">
        <x:v>技术负责人</x:v>
      </x:c>
    </x:row>
    <x:row r="10">
      <x:c r="A10" s="16" t="str">
        <x:v>端到端与安全测试</x:v>
      </x:c>
      <x:c r="B10" s="16" t="n">
        <x:v>6</x:v>
      </x:c>
      <x:c r="C10" s="16" t="n">
        <x:v>6</x:v>
      </x:c>
      <x:c r="D10" s="16" t="str">
        <x:f>IF(C10&gt;=B10,"通过","待完成")</x:f>
        <x:v>通过</x:v>
      </x:c>
      <x:c r="E10" s="16" t="str">
        <x:v>6 项：三案、来源、边界拒绝、注入/OCR、加密/不支持格式</x:v>
      </x:c>
      <x:c r="F10" s="16" t="str">
        <x:v>技术负责人</x:v>
      </x:c>
    </x:row>
    <x:row r="11">
      <x:c r="A11" s="16" t="str">
        <x:v>Skill 目录布局兼容数</x:v>
      </x:c>
      <x:c r="B11" s="16" t="n">
        <x:v>2</x:v>
      </x:c>
      <x:c r="C11" s="16" t="n">
        <x:v>2</x:v>
      </x:c>
      <x:c r="D11" s="16" t="str">
        <x:f>IF(C11&gt;=B11,"通过","待完成")</x:f>
        <x:v>通过</x:v>
      </x:c>
      <x:c r="E11" s="16" t="str">
        <x:v>Codex/Claude Code 发现目录下核心业务不变量一致</x:v>
      </x:c>
      <x:c r="F11" s="16" t="str">
        <x:v>技术负责人</x:v>
      </x:c>
    </x:row>
    <x:row r="12">
      <x:c r="A12" s="16" t="str">
        <x:v>真实智能体环境数</x:v>
      </x:c>
      <x:c r="B12" s="16" t="n">
        <x:v>2</x:v>
      </x:c>
      <x:c r="C12" s="16" t="n">
        <x:v>1</x:v>
      </x:c>
      <x:c r="D12" s="16" t="str">
        <x:f>IF(C12&gt;=B12,"通过","待完成")</x:f>
        <x:v>待完成</x:v>
      </x:c>
      <x:c r="E12" s="16" t="str">
        <x:v>目录兼容报告不替代第二智能体模型/界面实跑</x:v>
      </x:c>
      <x:c r="F12" s="16" t="str">
        <x:v>技术负责人</x:v>
      </x:c>
    </x:row>
    <x:row r="13">
      <x:c r="A13" s="16" t="str">
        <x:v>律师盲测轮数</x:v>
      </x:c>
      <x:c r="B13" s="16" t="n">
        <x:v>2</x:v>
      </x:c>
      <x:c r="C13" s="16" t="n">
        <x:v>0</x:v>
      </x:c>
      <x:c r="D13" s="16" t="str">
        <x:f>IF(C13&gt;=B13,"通过","待完成")</x:f>
        <x:v>待完成</x:v>
      </x:c>
      <x:c r="E13" s="16" t="str">
        <x:v>待填写“盲测记录”</x:v>
      </x:c>
      <x:c r="F13" s="16" t="str">
        <x:v>复核律师</x:v>
      </x:c>
    </x:row>
    <x:row r="14">
      <x:c r="A14" s="16" t="str">
        <x:v>规则矩阵批准</x:v>
      </x:c>
      <x:c r="B14" s="16" t="n">
        <x:v>1</x:v>
      </x:c>
      <x:c r="C14" s="16" t="n">
        <x:v>0</x:v>
      </x:c>
      <x:c r="D14" s="16" t="str">
        <x:f>IF(C14&gt;=B14,"通过","待完成")</x:f>
        <x:v>待完成</x:v>
      </x:c>
      <x:c r="E14" s="16" t="str">
        <x:v>rules.json 仍为 pending</x:v>
      </x:c>
      <x:c r="F14" s="16" t="str">
        <x:v>承办律师</x:v>
      </x:c>
    </x:row>
    <x:row r="15">
      <x:c r="A15" s="16" t="str">
        <x:v>盲测评审包</x:v>
      </x:c>
      <x:c r="B15" s="16" t="n">
        <x:v>1</x:v>
      </x:c>
      <x:c r="C15" s="16" t="n">
        <x:v>1</x:v>
      </x:c>
      <x:c r="D15" s="16" t="str">
        <x:f>IF(C15&gt;=B15,"通过","待完成")</x:f>
        <x:v>通过</x:v>
      </x:c>
      <x:c r="E15" s="16" t="str">
        <x:v>blind-review-kit.zip 与答案包严格分离</x:v>
      </x:c>
      <x:c r="F15" s="16" t="str">
        <x:v>技术负责人</x:v>
      </x:c>
    </x:row>
    <x:row r="16">
      <x:c r="A16" s="16" t="str">
        <x:v>演示视频时长（分钟）</x:v>
      </x:c>
      <x:c r="B16" s="16" t="n">
        <x:v>3</x:v>
      </x:c>
      <x:c r="C16" s="16" t="n">
        <x:v>4</x:v>
      </x:c>
      <x:c r="D16" s="16" t="str">
        <x:f>IF(AND(C16&gt;=3,C16&lt;=5),"通过","待完成")</x:f>
        <x:v>通过</x:v>
      </x:c>
      <x:c r="E16" s="16" t="str">
        <x:v>00:04:00；10 页；1080p；仅用合成材料</x:v>
      </x:c>
      <x:c r="F16" s="16" t="str">
        <x:v>技术负责人</x:v>
      </x:c>
    </x:row>
    <x:row r="18">
      <x:c r="A18" s="23" t="str">
        <x:v>投稿门禁：只有“真实智能体环境数、律师盲测轮数、规则矩阵批准”全部转为通过，才建议提交优秀入库评审。</x:v>
      </x:c>
      <x:c r="B18" s="23" t="str">
        <x:v>投稿门禁：只有“真实智能体环境数、律师盲测轮数、规则矩阵批准”全部转为通过，才建议提交优秀入库评审。</x:v>
      </x:c>
      <x:c r="C18" s="23" t="str">
        <x:v>投稿门禁：只有“真实智能体环境数、律师盲测轮数、规则矩阵批准”全部转为通过，才建议提交优秀入库评审。</x:v>
      </x:c>
      <x:c r="D18" s="23" t="str">
        <x:v>投稿门禁：只有“真实智能体环境数、律师盲测轮数、规则矩阵批准”全部转为通过，才建议提交优秀入库评审。</x:v>
      </x:c>
      <x:c r="E18" s="23" t="str">
        <x:v>投稿门禁：只有“真实智能体环境数、律师盲测轮数、规则矩阵批准”全部转为通过，才建议提交优秀入库评审。</x:v>
      </x:c>
      <x:c r="F18" s="23" t="str">
        <x:v>投稿门禁：只有“真实智能体环境数、律师盲测轮数、规则矩阵批准”全部转为通过，才建议提交优秀入库评审。</x:v>
      </x:c>
    </x:row>
  </x:sheetData>
  <x:mergeCells>
    <x:mergeCell ref="A1:F1"/>
    <x:mergeCell ref="A2:F2"/>
    <x:mergeCell ref="A18:F18"/>
  </x:mergeCells>
  <x:conditionalFormatting sqref="D5:D16">
    <x:cfRule type="containsText" dxfId="2" priority="1" operator="containsText" text="通过"/>
    <x:cfRule type="containsText" dxfId="3" priority="2" operator="containsText" text="待完成"/>
  </x:conditionalFormatting>
  <x:pageMargins left="0.7" right="0.7" top="0.75" bottom="0.75" header="0.3" footer="0.3"/>
</x:worksheet>
</file>